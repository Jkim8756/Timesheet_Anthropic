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ki8265\Desktop\VScode\Work\Timesheet_claude\"/>
    </mc:Choice>
  </mc:AlternateContent>
  <xr:revisionPtr revIDLastSave="0" documentId="8_{65F7DD86-CB44-4C1E-81B1-5D28441242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l Records" sheetId="1" r:id="rId1"/>
    <sheet name="Summary" sheetId="2" r:id="rId2"/>
    <sheet name="Failed &amp; Re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4" i="2"/>
</calcChain>
</file>

<file path=xl/sharedStrings.xml><?xml version="1.0" encoding="utf-8"?>
<sst xmlns="http://schemas.openxmlformats.org/spreadsheetml/2006/main" count="356" uniqueCount="99">
  <si>
    <t>Source File</t>
  </si>
  <si>
    <t>Date</t>
  </si>
  <si>
    <t>Day</t>
  </si>
  <si>
    <t>Business Unit</t>
  </si>
  <si>
    <t>Project</t>
  </si>
  <si>
    <t>Staff Type</t>
  </si>
  <si>
    <t>Job Task</t>
  </si>
  <si>
    <t>Title</t>
  </si>
  <si>
    <t>Employee Name</t>
  </si>
  <si>
    <t>EIN</t>
  </si>
  <si>
    <t>Sched Start</t>
  </si>
  <si>
    <t>Sched End</t>
  </si>
  <si>
    <t>Sched Hours</t>
  </si>
  <si>
    <t>Actual Start</t>
  </si>
  <si>
    <t>Lunch Out</t>
  </si>
  <si>
    <t>Lunch In</t>
  </si>
  <si>
    <t>Actual End</t>
  </si>
  <si>
    <t>Actual Hours</t>
  </si>
  <si>
    <t>Absent</t>
  </si>
  <si>
    <t>Schedule Changed</t>
  </si>
  <si>
    <t>Confidence</t>
  </si>
  <si>
    <t>Status</t>
  </si>
  <si>
    <t>Ceiling 2 DEC.pdf</t>
  </si>
  <si>
    <t>12/01/25</t>
  </si>
  <si>
    <t>Monday</t>
  </si>
  <si>
    <t>107871.5</t>
  </si>
  <si>
    <t>Final Construction Clean - Ceiling Project 2</t>
  </si>
  <si>
    <t>Frontline</t>
  </si>
  <si>
    <t>SP</t>
  </si>
  <si>
    <t>SP Cleaner</t>
  </si>
  <si>
    <t>Carlos Fernandez</t>
  </si>
  <si>
    <t>111144251</t>
  </si>
  <si>
    <t>5:00 PM</t>
  </si>
  <si>
    <t>2:00 AM</t>
  </si>
  <si>
    <t>8.00</t>
  </si>
  <si>
    <t>7 AM</t>
  </si>
  <si>
    <t>12 PM</t>
  </si>
  <si>
    <t>1 PM</t>
  </si>
  <si>
    <t>4 PM</t>
  </si>
  <si>
    <t>8</t>
  </si>
  <si>
    <t>No</t>
  </si>
  <si>
    <t>Yes</t>
  </si>
  <si>
    <t>OK</t>
  </si>
  <si>
    <t>Roberto Chirino Salon</t>
  </si>
  <si>
    <t>111143859</t>
  </si>
  <si>
    <t>Felix Gonzalez Alvarez</t>
  </si>
  <si>
    <t>111143863</t>
  </si>
  <si>
    <t>J</t>
  </si>
  <si>
    <t>Lluvys Cuellar Machado</t>
  </si>
  <si>
    <t>111143843</t>
  </si>
  <si>
    <t>Mileydis Caseres</t>
  </si>
  <si>
    <t>111143675</t>
  </si>
  <si>
    <t>Yamile Almira Qulala</t>
  </si>
  <si>
    <t>111145182</t>
  </si>
  <si>
    <t>M</t>
  </si>
  <si>
    <t>Tania Calderin Del Campo</t>
  </si>
  <si>
    <t>111145193</t>
  </si>
  <si>
    <t>Yoandy Becerra Gutierrez</t>
  </si>
  <si>
    <t>111145195</t>
  </si>
  <si>
    <t>Kevin Barro Garcia</t>
  </si>
  <si>
    <t>111145194</t>
  </si>
  <si>
    <t>Geovanis Sardina Silva</t>
  </si>
  <si>
    <t>111145197</t>
  </si>
  <si>
    <t>Kenia Iezcano</t>
  </si>
  <si>
    <t>111145371</t>
  </si>
  <si>
    <t>Daniel Sanchez</t>
  </si>
  <si>
    <t>111145365</t>
  </si>
  <si>
    <t>WF</t>
  </si>
  <si>
    <t>Olivio Gomez Frometa</t>
  </si>
  <si>
    <t>111145253</t>
  </si>
  <si>
    <t>9.00</t>
  </si>
  <si>
    <t>Yordanis Cedeno</t>
  </si>
  <si>
    <t>111145409</t>
  </si>
  <si>
    <t>Dafne Ramirez</t>
  </si>
  <si>
    <t>111145467</t>
  </si>
  <si>
    <t>Access Control</t>
  </si>
  <si>
    <t>Regla Villa</t>
  </si>
  <si>
    <t>111144266</t>
  </si>
  <si>
    <t>Management</t>
  </si>
  <si>
    <t>A</t>
  </si>
  <si>
    <t>Supervisor</t>
  </si>
  <si>
    <t>Rafael Rodriguez</t>
  </si>
  <si>
    <t>3:00 PM</t>
  </si>
  <si>
    <t>12:00 AM</t>
  </si>
  <si>
    <t>4 AM</t>
  </si>
  <si>
    <t>9:30 PM</t>
  </si>
  <si>
    <t>9.5</t>
  </si>
  <si>
    <t>⚠ Low Confidence</t>
  </si>
  <si>
    <t>Batch Extraction Summary</t>
  </si>
  <si>
    <t>Total files processed:</t>
  </si>
  <si>
    <t>Successful:</t>
  </si>
  <si>
    <t>Failed files:</t>
  </si>
  <si>
    <t>Low confidence rows:</t>
  </si>
  <si>
    <t>Extracted at:</t>
  </si>
  <si>
    <t>2026-03-23 15:03:11</t>
  </si>
  <si>
    <t>File</t>
  </si>
  <si>
    <t>Extracted At</t>
  </si>
  <si>
    <t>Low confidence: Rafael Rodriguez (0.7)</t>
  </si>
  <si>
    <t>2026-03-23T15:03:11.401242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</si>
</sst>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1F3864"/>
      <name val="Calibri"/>
    </font>
    <font>
      <b/>
      <sz val="1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20" customWidth="1"/>
    <col min="2" max="2" width="12" customWidth="1"/>
    <col min="3" max="3" width="10" customWidth="1"/>
    <col min="4" max="4" width="14" customWidth="1"/>
    <col min="5" max="5" width="22" customWidth="1"/>
    <col min="6" max="6" width="12" customWidth="1"/>
    <col min="7" max="7" width="10" customWidth="1"/>
    <col min="8" max="8" width="14" customWidth="1"/>
    <col min="9" max="9" width="22" customWidth="1"/>
    <col min="10" max="10" width="14" customWidth="1"/>
    <col min="11" max="18" width="11" customWidth="1"/>
    <col min="19" max="19" width="8" customWidth="1"/>
    <col min="20" max="20" width="14" customWidth="1"/>
    <col min="21" max="21" width="11" customWidth="1"/>
    <col min="22" max="22" width="16" customWidth="1"/>
  </cols>
  <sheetData>
    <row r="1" spans="1:2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>
        <v>0.9</v>
      </c>
      <c r="V2" s="2" t="s">
        <v>42</v>
      </c>
    </row>
    <row r="3" spans="1:22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43</v>
      </c>
      <c r="J3" s="3" t="s">
        <v>44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>
        <v>0.9</v>
      </c>
      <c r="V3" s="3" t="s">
        <v>42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45</v>
      </c>
      <c r="J4" s="2" t="s">
        <v>46</v>
      </c>
      <c r="K4" s="2" t="s">
        <v>32</v>
      </c>
      <c r="L4" s="2" t="s">
        <v>33</v>
      </c>
      <c r="M4" s="2" t="s">
        <v>34</v>
      </c>
      <c r="N4" s="2"/>
      <c r="O4" s="2"/>
      <c r="P4" s="2"/>
      <c r="Q4" s="2"/>
      <c r="R4" s="2"/>
      <c r="S4" s="2" t="s">
        <v>41</v>
      </c>
      <c r="T4" s="2" t="s">
        <v>40</v>
      </c>
      <c r="U4" s="2">
        <v>0.8</v>
      </c>
      <c r="V4" s="2" t="s">
        <v>42</v>
      </c>
    </row>
    <row r="5" spans="1:22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47</v>
      </c>
      <c r="H5" s="3" t="s">
        <v>29</v>
      </c>
      <c r="I5" s="3" t="s">
        <v>48</v>
      </c>
      <c r="J5" s="3" t="s">
        <v>49</v>
      </c>
      <c r="K5" s="3" t="s">
        <v>32</v>
      </c>
      <c r="L5" s="3" t="s">
        <v>33</v>
      </c>
      <c r="M5" s="3" t="s">
        <v>34</v>
      </c>
      <c r="N5" s="3"/>
      <c r="O5" s="3"/>
      <c r="P5" s="3"/>
      <c r="Q5" s="3"/>
      <c r="R5" s="3"/>
      <c r="S5" s="3" t="s">
        <v>41</v>
      </c>
      <c r="T5" s="3" t="s">
        <v>40</v>
      </c>
      <c r="U5" s="3">
        <v>0.8</v>
      </c>
      <c r="V5" s="3" t="s">
        <v>42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47</v>
      </c>
      <c r="H6" s="2" t="s">
        <v>29</v>
      </c>
      <c r="I6" s="2" t="s">
        <v>50</v>
      </c>
      <c r="J6" s="2" t="s">
        <v>51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>
        <v>0.8</v>
      </c>
      <c r="V6" s="2" t="s">
        <v>42</v>
      </c>
    </row>
    <row r="7" spans="1:22" x14ac:dyDescent="0.25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47</v>
      </c>
      <c r="H7" s="3" t="s">
        <v>29</v>
      </c>
      <c r="I7" s="3" t="s">
        <v>52</v>
      </c>
      <c r="J7" s="3" t="s">
        <v>53</v>
      </c>
      <c r="K7" s="3" t="s">
        <v>32</v>
      </c>
      <c r="L7" s="3" t="s">
        <v>33</v>
      </c>
      <c r="M7" s="3" t="s">
        <v>34</v>
      </c>
      <c r="N7" s="3" t="s">
        <v>35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3">
        <v>0.8</v>
      </c>
      <c r="V7" s="3" t="s">
        <v>42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54</v>
      </c>
      <c r="H8" s="2" t="s">
        <v>29</v>
      </c>
      <c r="I8" s="2" t="s">
        <v>55</v>
      </c>
      <c r="J8" s="2" t="s">
        <v>56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41</v>
      </c>
      <c r="U8" s="2">
        <v>0.8</v>
      </c>
      <c r="V8" s="2" t="s">
        <v>42</v>
      </c>
    </row>
    <row r="9" spans="1:22" x14ac:dyDescent="0.25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54</v>
      </c>
      <c r="H9" s="3" t="s">
        <v>29</v>
      </c>
      <c r="I9" s="3" t="s">
        <v>57</v>
      </c>
      <c r="J9" s="3" t="s">
        <v>58</v>
      </c>
      <c r="K9" s="3" t="s">
        <v>32</v>
      </c>
      <c r="L9" s="3" t="s">
        <v>33</v>
      </c>
      <c r="M9" s="3" t="s">
        <v>34</v>
      </c>
      <c r="N9" s="3" t="s">
        <v>35</v>
      </c>
      <c r="O9" s="3" t="s">
        <v>36</v>
      </c>
      <c r="P9" s="3" t="s">
        <v>37</v>
      </c>
      <c r="Q9" s="3" t="s">
        <v>38</v>
      </c>
      <c r="R9" s="3" t="s">
        <v>39</v>
      </c>
      <c r="S9" s="3" t="s">
        <v>40</v>
      </c>
      <c r="T9" s="3" t="s">
        <v>41</v>
      </c>
      <c r="U9" s="3">
        <v>0.8</v>
      </c>
      <c r="V9" s="3" t="s">
        <v>42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54</v>
      </c>
      <c r="H10" s="2" t="s">
        <v>29</v>
      </c>
      <c r="I10" s="2" t="s">
        <v>59</v>
      </c>
      <c r="J10" s="2" t="s">
        <v>60</v>
      </c>
      <c r="K10" s="2" t="s">
        <v>32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>
        <v>0.8</v>
      </c>
      <c r="V10" s="2" t="s">
        <v>42</v>
      </c>
    </row>
    <row r="11" spans="1:22" x14ac:dyDescent="0.25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54</v>
      </c>
      <c r="H11" s="3" t="s">
        <v>29</v>
      </c>
      <c r="I11" s="3" t="s">
        <v>61</v>
      </c>
      <c r="J11" s="3" t="s">
        <v>62</v>
      </c>
      <c r="K11" s="3" t="s">
        <v>32</v>
      </c>
      <c r="L11" s="3" t="s">
        <v>33</v>
      </c>
      <c r="M11" s="3" t="s">
        <v>34</v>
      </c>
      <c r="N11" s="3" t="s">
        <v>35</v>
      </c>
      <c r="O11" s="3" t="s">
        <v>36</v>
      </c>
      <c r="P11" s="3" t="s">
        <v>37</v>
      </c>
      <c r="Q11" s="3" t="s">
        <v>38</v>
      </c>
      <c r="R11" s="3" t="s">
        <v>39</v>
      </c>
      <c r="S11" s="3" t="s">
        <v>40</v>
      </c>
      <c r="T11" s="3" t="s">
        <v>41</v>
      </c>
      <c r="U11" s="3">
        <v>0.8</v>
      </c>
      <c r="V11" s="3" t="s">
        <v>42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47</v>
      </c>
      <c r="H12" s="2" t="s">
        <v>29</v>
      </c>
      <c r="I12" s="2" t="s">
        <v>63</v>
      </c>
      <c r="J12" s="2" t="s">
        <v>64</v>
      </c>
      <c r="K12" s="2" t="s">
        <v>32</v>
      </c>
      <c r="L12" s="2" t="s">
        <v>33</v>
      </c>
      <c r="M12" s="2" t="s">
        <v>34</v>
      </c>
      <c r="N12" s="2"/>
      <c r="O12" s="2"/>
      <c r="P12" s="2"/>
      <c r="Q12" s="2"/>
      <c r="R12" s="2"/>
      <c r="S12" s="2" t="s">
        <v>41</v>
      </c>
      <c r="T12" s="2" t="s">
        <v>40</v>
      </c>
      <c r="U12" s="2">
        <v>0.8</v>
      </c>
      <c r="V12" s="2" t="s">
        <v>42</v>
      </c>
    </row>
    <row r="13" spans="1:22" x14ac:dyDescent="0.25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  <c r="G13" s="3" t="s">
        <v>47</v>
      </c>
      <c r="H13" s="3" t="s">
        <v>29</v>
      </c>
      <c r="I13" s="3" t="s">
        <v>65</v>
      </c>
      <c r="J13" s="3" t="s">
        <v>66</v>
      </c>
      <c r="K13" s="3" t="s">
        <v>32</v>
      </c>
      <c r="L13" s="3" t="s">
        <v>33</v>
      </c>
      <c r="M13" s="3" t="s">
        <v>34</v>
      </c>
      <c r="N13" s="3"/>
      <c r="O13" s="3"/>
      <c r="P13" s="3"/>
      <c r="Q13" s="3"/>
      <c r="R13" s="3"/>
      <c r="S13" s="3" t="s">
        <v>41</v>
      </c>
      <c r="T13" s="3" t="s">
        <v>40</v>
      </c>
      <c r="U13" s="3">
        <v>0.8</v>
      </c>
      <c r="V13" s="3" t="s">
        <v>42</v>
      </c>
    </row>
    <row r="14" spans="1:22" x14ac:dyDescent="0.2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27</v>
      </c>
      <c r="G14" s="2" t="s">
        <v>67</v>
      </c>
      <c r="H14" s="2" t="s">
        <v>29</v>
      </c>
      <c r="I14" s="2" t="s">
        <v>68</v>
      </c>
      <c r="J14" s="2" t="s">
        <v>69</v>
      </c>
      <c r="K14" s="2" t="s">
        <v>32</v>
      </c>
      <c r="L14" s="2" t="s">
        <v>33</v>
      </c>
      <c r="M14" s="2" t="s">
        <v>70</v>
      </c>
      <c r="N14" s="2"/>
      <c r="O14" s="2"/>
      <c r="P14" s="2"/>
      <c r="Q14" s="2"/>
      <c r="R14" s="2"/>
      <c r="S14" s="2" t="s">
        <v>41</v>
      </c>
      <c r="T14" s="2" t="s">
        <v>40</v>
      </c>
      <c r="U14" s="2">
        <v>0.8</v>
      </c>
      <c r="V14" s="2" t="s">
        <v>42</v>
      </c>
    </row>
    <row r="15" spans="1:22" x14ac:dyDescent="0.25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27</v>
      </c>
      <c r="G15" s="3" t="s">
        <v>47</v>
      </c>
      <c r="H15" s="3" t="s">
        <v>29</v>
      </c>
      <c r="I15" s="3" t="s">
        <v>71</v>
      </c>
      <c r="J15" s="3" t="s">
        <v>72</v>
      </c>
      <c r="K15" s="3" t="s">
        <v>32</v>
      </c>
      <c r="L15" s="3" t="s">
        <v>33</v>
      </c>
      <c r="M15" s="3" t="s">
        <v>34</v>
      </c>
      <c r="N15" s="3"/>
      <c r="O15" s="3"/>
      <c r="P15" s="3"/>
      <c r="Q15" s="3"/>
      <c r="R15" s="3"/>
      <c r="S15" s="3" t="s">
        <v>41</v>
      </c>
      <c r="T15" s="3" t="s">
        <v>40</v>
      </c>
      <c r="U15" s="3">
        <v>0.8</v>
      </c>
      <c r="V15" s="3" t="s">
        <v>42</v>
      </c>
    </row>
    <row r="16" spans="1:22" x14ac:dyDescent="0.25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73</v>
      </c>
      <c r="J16" s="2" t="s">
        <v>74</v>
      </c>
      <c r="K16" s="2" t="s">
        <v>32</v>
      </c>
      <c r="L16" s="2" t="s">
        <v>33</v>
      </c>
      <c r="M16" s="2" t="s">
        <v>34</v>
      </c>
      <c r="N16" s="2"/>
      <c r="O16" s="2"/>
      <c r="P16" s="2"/>
      <c r="Q16" s="2"/>
      <c r="R16" s="2"/>
      <c r="S16" s="2" t="s">
        <v>41</v>
      </c>
      <c r="T16" s="2" t="s">
        <v>40</v>
      </c>
      <c r="U16" s="2">
        <v>0.8</v>
      </c>
      <c r="V16" s="2" t="s">
        <v>42</v>
      </c>
    </row>
    <row r="17" spans="1:22" x14ac:dyDescent="0.25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54</v>
      </c>
      <c r="H17" s="3" t="s">
        <v>75</v>
      </c>
      <c r="I17" s="3" t="s">
        <v>76</v>
      </c>
      <c r="J17" s="3" t="s">
        <v>77</v>
      </c>
      <c r="K17" s="3" t="s">
        <v>32</v>
      </c>
      <c r="L17" s="3" t="s">
        <v>33</v>
      </c>
      <c r="M17" s="3" t="s">
        <v>34</v>
      </c>
      <c r="N17" s="3" t="s">
        <v>35</v>
      </c>
      <c r="O17" s="3" t="s">
        <v>36</v>
      </c>
      <c r="P17" s="3" t="s">
        <v>37</v>
      </c>
      <c r="Q17" s="3" t="s">
        <v>38</v>
      </c>
      <c r="R17" s="3" t="s">
        <v>39</v>
      </c>
      <c r="S17" s="3" t="s">
        <v>40</v>
      </c>
      <c r="T17" s="3" t="s">
        <v>41</v>
      </c>
      <c r="U17" s="3">
        <v>0.8</v>
      </c>
      <c r="V17" s="3" t="s">
        <v>42</v>
      </c>
    </row>
    <row r="18" spans="1:22" x14ac:dyDescent="0.25">
      <c r="A18" s="4" t="s">
        <v>22</v>
      </c>
      <c r="B18" s="4" t="s">
        <v>23</v>
      </c>
      <c r="C18" s="4" t="s">
        <v>24</v>
      </c>
      <c r="D18" s="4" t="s">
        <v>25</v>
      </c>
      <c r="E18" s="4" t="s">
        <v>26</v>
      </c>
      <c r="F18" s="4" t="s">
        <v>78</v>
      </c>
      <c r="G18" s="4" t="s">
        <v>79</v>
      </c>
      <c r="H18" s="4" t="s">
        <v>80</v>
      </c>
      <c r="I18" s="4" t="s">
        <v>81</v>
      </c>
      <c r="J18" s="4"/>
      <c r="K18" s="4" t="s">
        <v>82</v>
      </c>
      <c r="L18" s="4" t="s">
        <v>83</v>
      </c>
      <c r="M18" s="4" t="s">
        <v>34</v>
      </c>
      <c r="N18" s="4" t="s">
        <v>84</v>
      </c>
      <c r="O18" s="4" t="s">
        <v>36</v>
      </c>
      <c r="P18" s="4" t="s">
        <v>37</v>
      </c>
      <c r="Q18" s="4" t="s">
        <v>85</v>
      </c>
      <c r="R18" s="4" t="s">
        <v>86</v>
      </c>
      <c r="S18" s="4" t="s">
        <v>40</v>
      </c>
      <c r="T18" s="4" t="s">
        <v>41</v>
      </c>
      <c r="U18" s="4">
        <v>0.7</v>
      </c>
      <c r="V18" s="4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6" customWidth="1"/>
    <col min="2" max="2" width="18" customWidth="1"/>
  </cols>
  <sheetData>
    <row r="1" spans="1:2" ht="18.75" x14ac:dyDescent="0.3">
      <c r="A1" s="5" t="s">
        <v>88</v>
      </c>
    </row>
    <row r="3" spans="1:2" x14ac:dyDescent="0.25">
      <c r="A3" s="6" t="s">
        <v>89</v>
      </c>
      <c r="B3">
        <v>1</v>
      </c>
    </row>
    <row r="4" spans="1:2" x14ac:dyDescent="0.25">
      <c r="A4" s="6" t="s">
        <v>90</v>
      </c>
      <c r="B4">
        <f>COUNTIF('All Records'!V:V,"OK")+COUNTIF('All Records'!V:V,"⚠ Low Confidence")</f>
        <v>17</v>
      </c>
    </row>
    <row r="5" spans="1:2" x14ac:dyDescent="0.25">
      <c r="A5" s="6" t="s">
        <v>91</v>
      </c>
      <c r="B5">
        <v>0</v>
      </c>
    </row>
    <row r="6" spans="1:2" x14ac:dyDescent="0.25">
      <c r="A6" s="6" t="s">
        <v>92</v>
      </c>
      <c r="B6">
        <f>COUNTIF('All Records'!V:V,"⚠ Low Confidence")</f>
        <v>1</v>
      </c>
    </row>
    <row r="7" spans="1:2" x14ac:dyDescent="0.25">
      <c r="A7" s="6" t="s">
        <v>93</v>
      </c>
      <c r="B7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cols>
    <col min="1" max="1" width="24" customWidth="1"/>
    <col min="2" max="2" width="40" customWidth="1"/>
    <col min="3" max="3" width="20" customWidth="1"/>
  </cols>
  <sheetData>
    <row r="1" spans="1:3" x14ac:dyDescent="0.25">
      <c r="A1" s="7" t="s">
        <v>95</v>
      </c>
      <c r="B1" s="7" t="s">
        <v>21</v>
      </c>
      <c r="C1" s="7" t="s">
        <v>96</v>
      </c>
    </row>
    <row r="2" spans="1:3" x14ac:dyDescent="0.25">
      <c r="A2" t="s">
        <v>22</v>
      </c>
      <c r="B2" t="s">
        <v>97</v>
      </c>
      <c r="C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Records</vt:lpstr>
      <vt:lpstr>Summary</vt:lpstr>
      <vt:lpstr>Failed &amp;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Kim</cp:lastModifiedBy>
  <dcterms:created xsi:type="dcterms:W3CDTF">2026-03-23T20:03:11Z</dcterms:created>
  <dcterms:modified xsi:type="dcterms:W3CDTF">2026-03-23T20:12:14Z</dcterms:modified>
</cp:coreProperties>
</file>